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cargillsonline-Manual-Testing-Project\manual-testing\Bug Report\"/>
    </mc:Choice>
  </mc:AlternateContent>
  <xr:revisionPtr revIDLastSave="0" documentId="13_ncr:1_{CF6AE55D-7D9D-4DAD-BD13-A4625658B4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Dashboard" sheetId="1" r:id="rId1"/>
    <sheet name="Defect Track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15" i="1"/>
  <c r="F14" i="1"/>
  <c r="C14" i="1"/>
  <c r="F13" i="1"/>
  <c r="C13" i="1"/>
  <c r="F12" i="1"/>
  <c r="F19" i="1" s="1"/>
  <c r="C12" i="1"/>
  <c r="C15" i="1" s="1"/>
  <c r="H7" i="1"/>
  <c r="F7" i="1"/>
  <c r="D7" i="1"/>
  <c r="B7" i="1"/>
</calcChain>
</file>

<file path=xl/sharedStrings.xml><?xml version="1.0" encoding="utf-8"?>
<sst xmlns="http://schemas.openxmlformats.org/spreadsheetml/2006/main" count="123" uniqueCount="86">
  <si>
    <t>Cargills Platform</t>
  </si>
  <si>
    <t>Master Defect Analytics Dashboard</t>
  </si>
  <si>
    <t>Generated: May 20, 2026 | Scope: Full Suite Integration</t>
  </si>
  <si>
    <t>TOTAL DEFECTS</t>
  </si>
  <si>
    <t>CRITICAL / HIGH</t>
  </si>
  <si>
    <t>MEDIUM SEVERITY</t>
  </si>
  <si>
    <t>LOW SEVERITY</t>
  </si>
  <si>
    <t>Defects by Severity</t>
  </si>
  <si>
    <t>Defects by Functional Module</t>
  </si>
  <si>
    <t>Severity Level</t>
  </si>
  <si>
    <t>Defect Count</t>
  </si>
  <si>
    <t>Module Name</t>
  </si>
  <si>
    <t>High</t>
  </si>
  <si>
    <t>Returns</t>
  </si>
  <si>
    <t>Medium</t>
  </si>
  <si>
    <t>Checkout</t>
  </si>
  <si>
    <t>Low</t>
  </si>
  <si>
    <t>Cart</t>
  </si>
  <si>
    <t>Total</t>
  </si>
  <si>
    <t>Product Catalog</t>
  </si>
  <si>
    <t>Homepage</t>
  </si>
  <si>
    <t>Login</t>
  </si>
  <si>
    <t>Signup</t>
  </si>
  <si>
    <t>Cargills Platform - Detailed Defect Repository</t>
  </si>
  <si>
    <t>Cycle: Master Integrated Run | Total Logged: 7 Defects</t>
  </si>
  <si>
    <t>Bug ID</t>
  </si>
  <si>
    <t>Test Case ID</t>
  </si>
  <si>
    <t>Module</t>
  </si>
  <si>
    <t>Summary</t>
  </si>
  <si>
    <t>Description</t>
  </si>
  <si>
    <t>Expected Result</t>
  </si>
  <si>
    <t>Actual Result</t>
  </si>
  <si>
    <t>Severity</t>
  </si>
  <si>
    <t>Priority</t>
  </si>
  <si>
    <t>Status</t>
  </si>
  <si>
    <t>Environment</t>
  </si>
  <si>
    <t>Reporter</t>
  </si>
  <si>
    <t>BUG-RET-001</t>
  </si>
  <si>
    <t>TC-RET-005</t>
  </si>
  <si>
    <t>Phone number link uses an invalid protocol format, making it unclickable on mobile</t>
  </si>
  <si>
    <t>1. Navigate to Return Policy page on a mobile device or responsive view.
2. Scroll down to the contact section.
3. Click on the listed phone number link.
Observe: The link does not initiate a phone call because the href format is incorrect or missing the 'tel:' protocol prefix.</t>
  </si>
  <si>
    <t>The phone number link should have a valid 'tel:+123456789' attribute and trigger the native dialer application when clicked on mobile.</t>
  </si>
  <si>
    <t>Phone number link uses an invalid 'tel:' protocol href format, making it unclickable on mobile devices.</t>
  </si>
  <si>
    <t>New</t>
  </si>
  <si>
    <t>QA Staging - Mobile Chrome/Safari</t>
  </si>
  <si>
    <t>QA Automation Engineer</t>
  </si>
  <si>
    <t>BUG-CHK-001</t>
  </si>
  <si>
    <t>TC-CHK-004</t>
  </si>
  <si>
    <t>Checkout order total discrepancy due to omitted delivery tax calculation</t>
  </si>
  <si>
    <t>1. Add items to the cart.
2. Proceed from cart screen to checkout screen.
3. Verify the breakdown of item total, delivery fee, taxes, and final payable amount.
Observe: The final total payable amount on the checkout screen ($120.50) is less than the actual cart summary total ($125.00) because the delivery tax component was left out of the final summation.</t>
  </si>
  <si>
    <t>The final checkout order total must exactly match the cart total and include all applicable taxes, fees, and discounts.</t>
  </si>
  <si>
    <t>Discrepancy found: Order total on checkout screen is $120.50 while cart total was $125.00 due to omitted delivery tax calculation.</t>
  </si>
  <si>
    <t>QA Staging - Web Desktop</t>
  </si>
  <si>
    <t>BUG-CART-001</t>
  </si>
  <si>
    <t>TC-CART-007</t>
  </si>
  <si>
    <t>Cart items are cleared and reset to zero after a hard browser page refresh (F5)</t>
  </si>
  <si>
    <t>1. Add any 3 products to the shopping cart.
2. Observe the cart counter showing '3' items.
3. Perform a hard browser refresh (press F5 or Ctrl+R).
Observe: After the page reloads, the cart is completely empty and resets to zero items.</t>
  </si>
  <si>
    <t>Cart items must persist across page refreshes using LocalStorage or SessionState persistence mechanisms.</t>
  </si>
  <si>
    <t>Cart items are completely cleared and reset to zero after a hard browser refresh (F5).</t>
  </si>
  <si>
    <t>QA Staging - Web Cross-Browser</t>
  </si>
  <si>
    <t>BUG-CAT-001</t>
  </si>
  <si>
    <t>TC-CAT-006</t>
  </si>
  <si>
    <t>Search queries with special characters (e.g., '%', '&amp;') trigger a 500 Internal Server Error</t>
  </si>
  <si>
    <t>1. Navigate to the product catalog page.
2. In the global search box, enter a special character such as '%' or '&amp;' and press Enter.
Observe: Instead of displaying a graceful 'No items found matching your search' message, the application crashes and renders a 500 Internal Server Error page.</t>
  </si>
  <si>
    <t>The system should properly sanitize and escape special characters in search fields, returning a zero-results view without breaking the application.</t>
  </si>
  <si>
    <t>System encounters a 500 Internal Server Error page when searching with special characters like '%' or '&amp;'.</t>
  </si>
  <si>
    <t>BUG-HOME-001</t>
  </si>
  <si>
    <t>TC-HOME-005</t>
  </si>
  <si>
    <t>Banner carousel navigation next/prev arrows are unresponsive on touch-screen devices</t>
  </si>
  <si>
    <t>1. Access the homepage on a tablet or mobile screen view.
2. Attempt to tap on the left or right arrows of the main hero banner carousel.
Observe: The banner does not shift to the next or previous item; the control buttons are completely unresponsive to touch inputs.</t>
  </si>
  <si>
    <t>The hero banner carousel arrows should support click and touch tap interactions to slide back and forth seamlessly.</t>
  </si>
  <si>
    <t>Carousel next/prev arrows are completely unresponsive on touch-screen devices and iOS Safari.</t>
  </si>
  <si>
    <t>QA Staging - Touch UI &amp; iOS Safari</t>
  </si>
  <si>
    <t>BUG-AUTH-001</t>
  </si>
  <si>
    <t>TC-AUTH-010</t>
  </si>
  <si>
    <t>Password characters briefly visible in plain text during masking</t>
  </si>
  <si>
    <t>1. Navigate to Login URL.
2. Enter text in the password field.
Observe: The characters remain visible as plain text for a split second before transforming into dots/asterisks, exposing sensitive data to shoulder surfing.</t>
  </si>
  <si>
    <t>Password field input must be masked immediately upon entry without displaying plain text.</t>
  </si>
  <si>
    <t>Password characters are briefly visible in plain text before masking.</t>
  </si>
  <si>
    <t>QA Staging</t>
  </si>
  <si>
    <t>BUG-AUTH-002</t>
  </si>
  <si>
    <t>TC-AUTH-015</t>
  </si>
  <si>
    <t>Signup form accepts invalid mobile number format without validation error</t>
  </si>
  <si>
    <t>1. Open Signup page.
2. Input an invalid or arbitrary length mobile number (e.g., '1234abc').
3. Click Submit.</t>
  </si>
  <si>
    <t>The system should trigger a validation error 'Invalid mobile number format' and block form submission.</t>
  </si>
  <si>
    <t>Mobile number accepted without any validation error, and the request was allowed and submitted to the backend.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</si>
</sst>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8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9C6500"/>
      <name val="Segoe UI"/>
    </font>
    <font>
      <b/>
      <sz val="10"/>
      <color rgb="FF0288D1"/>
      <name val="Segoe UI"/>
    </font>
    <font>
      <b/>
      <sz val="10"/>
      <color rgb="FF9C0006"/>
      <name val="Segoe UI"/>
    </font>
    <font>
      <b/>
      <sz val="10"/>
      <color rgb="FF375623"/>
      <name val="Segoe UI"/>
    </font>
    <font>
      <b/>
      <sz val="14"/>
      <color rgb="FF595959"/>
      <name val="Segoe UI"/>
    </font>
    <font>
      <b/>
      <sz val="9"/>
      <color rgb="FF595959"/>
      <name val="Segoe UI"/>
    </font>
    <font>
      <b/>
      <sz val="16"/>
      <color rgb="FF1F4E78"/>
      <name val="Segoe UI"/>
    </font>
    <font>
      <b/>
      <sz val="16"/>
      <color rgb="FF9C0006"/>
      <name val="Segoe UI"/>
    </font>
    <font>
      <b/>
      <sz val="16"/>
      <color rgb="FF9C6500"/>
      <name val="Segoe UI"/>
    </font>
    <font>
      <b/>
      <sz val="16"/>
      <color rgb="FF375623"/>
      <name val="Segoe UI"/>
    </font>
    <font>
      <b/>
      <sz val="13"/>
      <color rgb="FF1F4E78"/>
      <name val="Segoe UI"/>
    </font>
    <font>
      <b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B9C"/>
        <bgColor rgb="FFFFEB9C"/>
      </patternFill>
    </fill>
    <fill>
      <patternFill patternType="solid">
        <fgColor rgb="FFE1F5FE"/>
        <bgColor rgb="FFE1F5FE"/>
      </patternFill>
    </fill>
    <fill>
      <patternFill patternType="solid">
        <fgColor rgb="FFFFC7CE"/>
        <bgColor rgb="FFFFC7CE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9" fillId="0" borderId="0" xfId="0" applyFont="1"/>
    <xf numFmtId="0" fontId="2" fillId="0" borderId="0" xfId="0" applyFont="1"/>
    <xf numFmtId="0" fontId="15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0" borderId="1" xfId="0" applyBorder="1"/>
    <xf numFmtId="0" fontId="12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Defect Count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Dashboard'!$C$11</c:f>
              <c:strCache>
                <c:ptCount val="1"/>
                <c:pt idx="0">
                  <c:v>Defect 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'Summary Dashboard'!$B$12:$B$14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'Summary Dashboard'!$C$12:$C$14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9-4C02-9ED0-9D7AD637C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Severity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Defects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899160</xdr:colOff>
      <xdr:row>21</xdr:row>
      <xdr:rowOff>175260</xdr:rowOff>
    </xdr:from>
    <xdr:ext cx="5234940" cy="2667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9"/>
  <sheetViews>
    <sheetView tabSelected="1" topLeftCell="A10" workbookViewId="0">
      <selection activeCell="G25" sqref="G25"/>
    </sheetView>
  </sheetViews>
  <sheetFormatPr defaultRowHeight="14.4"/>
  <cols>
    <col min="1" max="10" width="16" customWidth="1"/>
  </cols>
  <sheetData>
    <row r="2" spans="2:9" ht="27">
      <c r="B2" s="1" t="s">
        <v>0</v>
      </c>
    </row>
    <row r="3" spans="2:9" ht="20.399999999999999">
      <c r="B3" s="2" t="s">
        <v>1</v>
      </c>
    </row>
    <row r="4" spans="2:9" ht="15">
      <c r="B4" s="3" t="s">
        <v>2</v>
      </c>
    </row>
    <row r="6" spans="2:9">
      <c r="B6" s="19" t="s">
        <v>3</v>
      </c>
      <c r="C6" s="20"/>
      <c r="D6" s="19" t="s">
        <v>4</v>
      </c>
      <c r="E6" s="20"/>
      <c r="F6" s="19" t="s">
        <v>5</v>
      </c>
      <c r="G6" s="20"/>
      <c r="H6" s="19" t="s">
        <v>6</v>
      </c>
      <c r="I6" s="20"/>
    </row>
    <row r="7" spans="2:9" ht="24.6">
      <c r="B7" s="22">
        <f>COUNTA('Defect Tracker'!B6:B12)</f>
        <v>7</v>
      </c>
      <c r="C7" s="20"/>
      <c r="D7" s="21">
        <f>COUNTIF('Defect Tracker'!I6:I12, "High")</f>
        <v>3</v>
      </c>
      <c r="E7" s="20"/>
      <c r="F7" s="24">
        <f>COUNTIF('Defect Tracker'!I6:I12, "Medium")</f>
        <v>3</v>
      </c>
      <c r="G7" s="20"/>
      <c r="H7" s="23">
        <f>COUNTIF('Defect Tracker'!I6:I12, "Low")</f>
        <v>1</v>
      </c>
      <c r="I7" s="20"/>
    </row>
    <row r="10" spans="2:9" ht="19.8">
      <c r="B10" s="4" t="s">
        <v>7</v>
      </c>
      <c r="E10" s="4" t="s">
        <v>8</v>
      </c>
    </row>
    <row r="11" spans="2:9" ht="24" customHeight="1">
      <c r="B11" s="5" t="s">
        <v>9</v>
      </c>
      <c r="C11" s="5" t="s">
        <v>10</v>
      </c>
      <c r="E11" s="5" t="s">
        <v>11</v>
      </c>
      <c r="F11" s="5" t="s">
        <v>10</v>
      </c>
    </row>
    <row r="12" spans="2:9" ht="19.95" customHeight="1">
      <c r="B12" s="6" t="s">
        <v>12</v>
      </c>
      <c r="C12" s="7">
        <f>COUNTIF('Defect Tracker'!I6:I12, "High")</f>
        <v>3</v>
      </c>
      <c r="E12" s="6" t="s">
        <v>13</v>
      </c>
      <c r="F12" s="7">
        <f>COUNTIF('Defect Tracker'!D6:D12, "Returns")</f>
        <v>1</v>
      </c>
    </row>
    <row r="13" spans="2:9" ht="19.95" customHeight="1">
      <c r="B13" s="6" t="s">
        <v>14</v>
      </c>
      <c r="C13" s="7">
        <f>COUNTIF('Defect Tracker'!I6:I12, "Medium")</f>
        <v>3</v>
      </c>
      <c r="E13" s="6" t="s">
        <v>15</v>
      </c>
      <c r="F13" s="7">
        <f>COUNTIF('Defect Tracker'!D6:D12, "Checkout")</f>
        <v>1</v>
      </c>
    </row>
    <row r="14" spans="2:9" ht="19.95" customHeight="1">
      <c r="B14" s="6" t="s">
        <v>16</v>
      </c>
      <c r="C14" s="7">
        <f>COUNTIF('Defect Tracker'!I6:I12, "Low")</f>
        <v>1</v>
      </c>
      <c r="E14" s="6" t="s">
        <v>17</v>
      </c>
      <c r="F14" s="7">
        <f>COUNTIF('Defect Tracker'!D6:D12, "Cart")</f>
        <v>1</v>
      </c>
    </row>
    <row r="15" spans="2:9" ht="19.95" customHeight="1">
      <c r="B15" s="8" t="s">
        <v>18</v>
      </c>
      <c r="C15" s="9">
        <f>SUM(C12:C14)</f>
        <v>7</v>
      </c>
      <c r="E15" s="6" t="s">
        <v>19</v>
      </c>
      <c r="F15" s="7">
        <f>COUNTIF('Defect Tracker'!D6:D12, "Product Catalog")</f>
        <v>1</v>
      </c>
    </row>
    <row r="16" spans="2:9" ht="19.95" customHeight="1">
      <c r="E16" s="6" t="s">
        <v>20</v>
      </c>
      <c r="F16" s="7">
        <f>COUNTIF('Defect Tracker'!D6:D12, "Homepage")</f>
        <v>1</v>
      </c>
    </row>
    <row r="17" spans="5:6" ht="19.95" customHeight="1">
      <c r="E17" s="6" t="s">
        <v>21</v>
      </c>
      <c r="F17" s="7">
        <f>COUNTIF('Defect Tracker'!D6:D12, "Login")</f>
        <v>1</v>
      </c>
    </row>
    <row r="18" spans="5:6" ht="19.95" customHeight="1">
      <c r="E18" s="6" t="s">
        <v>22</v>
      </c>
      <c r="F18" s="7">
        <f>COUNTIF('Defect Tracker'!D6:D12, "Signup")</f>
        <v>1</v>
      </c>
    </row>
    <row r="19" spans="5:6" ht="22.05" customHeight="1">
      <c r="E19" s="8" t="s">
        <v>18</v>
      </c>
      <c r="F19" s="9">
        <f>SUM(F12:F18)</f>
        <v>7</v>
      </c>
    </row>
  </sheetData>
  <mergeCells count="8">
    <mergeCell ref="D6:E6"/>
    <mergeCell ref="B6:C6"/>
    <mergeCell ref="D7:E7"/>
    <mergeCell ref="B7:C7"/>
    <mergeCell ref="H6:I6"/>
    <mergeCell ref="H7:I7"/>
    <mergeCell ref="F6:G6"/>
    <mergeCell ref="F7:G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2"/>
  <sheetViews>
    <sheetView workbookViewId="0"/>
  </sheetViews>
  <sheetFormatPr defaultRowHeight="14.4"/>
  <cols>
    <col min="1" max="1" width="3" customWidth="1"/>
    <col min="2" max="3" width="15" customWidth="1"/>
    <col min="4" max="4" width="16" customWidth="1"/>
    <col min="5" max="5" width="32" customWidth="1"/>
    <col min="6" max="6" width="48" customWidth="1"/>
    <col min="7" max="8" width="36" customWidth="1"/>
    <col min="9" max="10" width="13" customWidth="1"/>
    <col min="11" max="11" width="12" customWidth="1"/>
    <col min="12" max="12" width="20" customWidth="1"/>
    <col min="13" max="13" width="24" customWidth="1"/>
  </cols>
  <sheetData>
    <row r="2" spans="2:13" ht="27">
      <c r="B2" s="1" t="s">
        <v>23</v>
      </c>
    </row>
    <row r="3" spans="2:13" ht="15">
      <c r="B3" s="3" t="s">
        <v>24</v>
      </c>
    </row>
    <row r="5" spans="2:13" ht="25.95" customHeight="1">
      <c r="B5" s="10" t="s">
        <v>25</v>
      </c>
      <c r="C5" s="10" t="s">
        <v>26</v>
      </c>
      <c r="D5" s="10" t="s">
        <v>27</v>
      </c>
      <c r="E5" s="10" t="s">
        <v>28</v>
      </c>
      <c r="F5" s="10" t="s">
        <v>29</v>
      </c>
      <c r="G5" s="10" t="s">
        <v>30</v>
      </c>
      <c r="H5" s="10" t="s">
        <v>31</v>
      </c>
      <c r="I5" s="10" t="s">
        <v>32</v>
      </c>
      <c r="J5" s="10" t="s">
        <v>33</v>
      </c>
      <c r="K5" s="10" t="s">
        <v>34</v>
      </c>
      <c r="L5" s="10" t="s">
        <v>35</v>
      </c>
      <c r="M5" s="10" t="s">
        <v>36</v>
      </c>
    </row>
    <row r="6" spans="2:13" ht="79.95" customHeight="1">
      <c r="B6" s="11" t="s">
        <v>37</v>
      </c>
      <c r="C6" s="11" t="s">
        <v>38</v>
      </c>
      <c r="D6" s="11" t="s">
        <v>13</v>
      </c>
      <c r="E6" s="12" t="s">
        <v>39</v>
      </c>
      <c r="F6" s="12" t="s">
        <v>40</v>
      </c>
      <c r="G6" s="12" t="s">
        <v>41</v>
      </c>
      <c r="H6" s="12" t="s">
        <v>42</v>
      </c>
      <c r="I6" s="13" t="s">
        <v>14</v>
      </c>
      <c r="J6" s="14" t="s">
        <v>14</v>
      </c>
      <c r="K6" s="15" t="s">
        <v>43</v>
      </c>
      <c r="L6" s="11" t="s">
        <v>44</v>
      </c>
      <c r="M6" s="12" t="s">
        <v>45</v>
      </c>
    </row>
    <row r="7" spans="2:13" ht="79.95" customHeight="1">
      <c r="B7" s="11" t="s">
        <v>46</v>
      </c>
      <c r="C7" s="11" t="s">
        <v>47</v>
      </c>
      <c r="D7" s="11" t="s">
        <v>15</v>
      </c>
      <c r="E7" s="12" t="s">
        <v>48</v>
      </c>
      <c r="F7" s="12" t="s">
        <v>49</v>
      </c>
      <c r="G7" s="12" t="s">
        <v>50</v>
      </c>
      <c r="H7" s="12" t="s">
        <v>51</v>
      </c>
      <c r="I7" s="16" t="s">
        <v>12</v>
      </c>
      <c r="J7" s="17" t="s">
        <v>12</v>
      </c>
      <c r="K7" s="15" t="s">
        <v>43</v>
      </c>
      <c r="L7" s="11" t="s">
        <v>52</v>
      </c>
      <c r="M7" s="12" t="s">
        <v>45</v>
      </c>
    </row>
    <row r="8" spans="2:13" ht="79.95" customHeight="1">
      <c r="B8" s="11" t="s">
        <v>53</v>
      </c>
      <c r="C8" s="11" t="s">
        <v>54</v>
      </c>
      <c r="D8" s="11" t="s">
        <v>17</v>
      </c>
      <c r="E8" s="12" t="s">
        <v>55</v>
      </c>
      <c r="F8" s="12" t="s">
        <v>56</v>
      </c>
      <c r="G8" s="12" t="s">
        <v>57</v>
      </c>
      <c r="H8" s="12" t="s">
        <v>58</v>
      </c>
      <c r="I8" s="16" t="s">
        <v>12</v>
      </c>
      <c r="J8" s="17" t="s">
        <v>12</v>
      </c>
      <c r="K8" s="15" t="s">
        <v>43</v>
      </c>
      <c r="L8" s="11" t="s">
        <v>59</v>
      </c>
      <c r="M8" s="12" t="s">
        <v>45</v>
      </c>
    </row>
    <row r="9" spans="2:13" ht="79.95" customHeight="1">
      <c r="B9" s="11" t="s">
        <v>60</v>
      </c>
      <c r="C9" s="11" t="s">
        <v>61</v>
      </c>
      <c r="D9" s="11" t="s">
        <v>19</v>
      </c>
      <c r="E9" s="12" t="s">
        <v>62</v>
      </c>
      <c r="F9" s="12" t="s">
        <v>63</v>
      </c>
      <c r="G9" s="12" t="s">
        <v>64</v>
      </c>
      <c r="H9" s="12" t="s">
        <v>65</v>
      </c>
      <c r="I9" s="13" t="s">
        <v>14</v>
      </c>
      <c r="J9" s="17" t="s">
        <v>12</v>
      </c>
      <c r="K9" s="15" t="s">
        <v>43</v>
      </c>
      <c r="L9" s="11" t="s">
        <v>52</v>
      </c>
      <c r="M9" s="12" t="s">
        <v>45</v>
      </c>
    </row>
    <row r="10" spans="2:13" ht="79.95" customHeight="1">
      <c r="B10" s="11" t="s">
        <v>66</v>
      </c>
      <c r="C10" s="11" t="s">
        <v>67</v>
      </c>
      <c r="D10" s="11" t="s">
        <v>20</v>
      </c>
      <c r="E10" s="12" t="s">
        <v>68</v>
      </c>
      <c r="F10" s="12" t="s">
        <v>69</v>
      </c>
      <c r="G10" s="12" t="s">
        <v>70</v>
      </c>
      <c r="H10" s="12" t="s">
        <v>71</v>
      </c>
      <c r="I10" s="18" t="s">
        <v>16</v>
      </c>
      <c r="J10" s="14" t="s">
        <v>14</v>
      </c>
      <c r="K10" s="15" t="s">
        <v>43</v>
      </c>
      <c r="L10" s="11" t="s">
        <v>72</v>
      </c>
      <c r="M10" s="12" t="s">
        <v>45</v>
      </c>
    </row>
    <row r="11" spans="2:13" ht="79.95" customHeight="1">
      <c r="B11" s="11" t="s">
        <v>73</v>
      </c>
      <c r="C11" s="11" t="s">
        <v>74</v>
      </c>
      <c r="D11" s="11" t="s">
        <v>21</v>
      </c>
      <c r="E11" s="12" t="s">
        <v>75</v>
      </c>
      <c r="F11" s="12" t="s">
        <v>76</v>
      </c>
      <c r="G11" s="12" t="s">
        <v>77</v>
      </c>
      <c r="H11" s="12" t="s">
        <v>78</v>
      </c>
      <c r="I11" s="13" t="s">
        <v>14</v>
      </c>
      <c r="J11" s="17" t="s">
        <v>12</v>
      </c>
      <c r="K11" s="15" t="s">
        <v>43</v>
      </c>
      <c r="L11" s="11" t="s">
        <v>79</v>
      </c>
      <c r="M11" s="12" t="s">
        <v>45</v>
      </c>
    </row>
    <row r="12" spans="2:13" ht="79.95" customHeight="1">
      <c r="B12" s="11" t="s">
        <v>80</v>
      </c>
      <c r="C12" s="11" t="s">
        <v>81</v>
      </c>
      <c r="D12" s="11" t="s">
        <v>22</v>
      </c>
      <c r="E12" s="12" t="s">
        <v>82</v>
      </c>
      <c r="F12" s="12" t="s">
        <v>83</v>
      </c>
      <c r="G12" s="12" t="s">
        <v>84</v>
      </c>
      <c r="H12" s="12" t="s">
        <v>85</v>
      </c>
      <c r="I12" s="16" t="s">
        <v>12</v>
      </c>
      <c r="J12" s="17" t="s">
        <v>12</v>
      </c>
      <c r="K12" s="15" t="s">
        <v>43</v>
      </c>
      <c r="L12" s="11" t="s">
        <v>79</v>
      </c>
      <c r="M12" s="1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 yohan</cp:lastModifiedBy>
  <dcterms:created xsi:type="dcterms:W3CDTF">2026-05-20T11:10:37Z</dcterms:created>
  <dcterms:modified xsi:type="dcterms:W3CDTF">2026-05-20T11:11:52Z</dcterms:modified>
</cp:coreProperties>
</file>